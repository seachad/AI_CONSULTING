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cuesta anual" sheetId="1" r:id="rId1"/>
    <sheet name="Resultados encuesta anual" sheetId="2" r:id="rId2"/>
    <sheet name="Encuesta de pulso" sheetId="3" r:id="rId3"/>
    <sheet name="Resultados del pulso" sheetId="4" r:id="rId4"/>
  </sheets>
</workbook>
</file>

<file path=xl/sharedStrings.xml><?xml version="1.0" encoding="utf-8"?>
<sst xmlns="http://schemas.openxmlformats.org/spreadsheetml/2006/main" count="70" uniqueCount="70">
  <si>
    <t xml:space="preserve">SEVEN-G</t>
  </si>
  <si>
    <t xml:space="preserve">P44 · Encuesta de uso y percepción de la IA — Encuesta anual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</si>
  <si>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</si>
  <si>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</si>
  <si>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ID de respuesta</t>
  </si>
  <si>
    <t xml:space="preserve">Área y colectivo (U13)</t>
  </si>
  <si>
    <t xml:space="preserve">U1 · ¿Ha usado IA?</t>
  </si>
  <si>
    <t xml:space="preserve">U2 · Herramientas usadas</t>
  </si>
  <si>
    <t xml:space="preserve">U3 · Cuenta</t>
  </si>
  <si>
    <t xml:space="preserve">U4 · Frecuencia</t>
  </si>
  <si>
    <t xml:space="preserve">U5 · Tareas</t>
  </si>
  <si>
    <t xml:space="preserve">U6 · Información introducida</t>
  </si>
  <si>
    <t xml:space="preserve">U7 · Extensiones instaladas</t>
  </si>
  <si>
    <t xml:space="preserve">U8 · Agente personal</t>
  </si>
  <si>
    <t xml:space="preserve">U9 · Necesidad no cubierta</t>
  </si>
  <si>
    <t xml:space="preserve">U10 · Conoce qué puede usar (1–5)</t>
  </si>
  <si>
    <t xml:space="preserve">U11 · Sabe comunicar un incidente (1–5)</t>
  </si>
  <si>
    <t xml:space="preserve">U12 · Formación suficiente (1–5)</t>
  </si>
  <si>
    <t xml:space="preserve">R-0001 (ejemplo ilustrativo)</t>
  </si>
  <si>
    <t xml:space="preserve">Reclamaciones · Empleado</t>
  </si>
  <si>
    <t xml:space="preserve">Sí</t>
  </si>
  <si>
    <t xml:space="preserve">SIA-2026-014</t>
  </si>
  <si>
    <t xml:space="preserve">Corporativa</t>
  </si>
  <si>
    <t xml:space="preserve">Semanal</t>
  </si>
  <si>
    <t xml:space="preserve">Redacción, Resumen</t>
  </si>
  <si>
    <t xml:space="preserve">[Interna]</t>
  </si>
  <si>
    <t xml:space="preserve">No</t>
  </si>
  <si>
    <t xml:space="preserve">Ninguna</t>
  </si>
  <si>
    <t xml:space="preserve">P44 · Encuesta de uso y percepción de la IA — Resultados encuesta anual</t>
  </si>
  <si>
    <t xml:space="preserve">Resultado</t>
  </si>
  <si>
    <t xml:space="preserve">Valor</t>
  </si>
  <si>
    <t xml:space="preserve">Fórmula</t>
  </si>
  <si>
    <t xml:space="preserve">Uso declarado de IA</t>
  </si>
  <si>
    <t xml:space="preserve">Respuestas Sí en U1 ÷ respuestas válidas</t>
  </si>
  <si>
    <t xml:space="preserve">Conocimiento de la política (U10)</t>
  </si>
  <si>
    <t xml:space="preserve">% favorable en U10</t>
  </si>
  <si>
    <t xml:space="preserve">Conocimiento de la política (U11)</t>
  </si>
  <si>
    <t xml:space="preserve">% favorable en U11</t>
  </si>
  <si>
    <t xml:space="preserve">Conocimiento de la política (U12)</t>
  </si>
  <si>
    <t xml:space="preserve">% favorable en U12</t>
  </si>
  <si>
    <t xml:space="preserve">P44 · Encuesta de uso y percepción de la IA — Encuesta de pulso</t>
  </si>
  <si>
    <t xml:space="preserve">Colectivo y función (P13)</t>
  </si>
  <si>
    <t xml:space="preserve">P1 · Utilidad (1–5)</t>
  </si>
  <si>
    <t xml:space="preserve">P2 · Utilidad (1–5)</t>
  </si>
  <si>
    <t xml:space="preserve">P3 · Confianza (1–5)</t>
  </si>
  <si>
    <t xml:space="preserve">P4 · Confianza (1–5)</t>
  </si>
  <si>
    <t xml:space="preserve">P5 · Apoyo (1–5)</t>
  </si>
  <si>
    <t xml:space="preserve">P6 · Apoyo (1–5)</t>
  </si>
  <si>
    <t xml:space="preserve">P7 · Carga (1–5)</t>
  </si>
  <si>
    <t xml:space="preserve">P8 · Carga (1–5)</t>
  </si>
  <si>
    <t xml:space="preserve">P9 · Autonomía (1–5)</t>
  </si>
  <si>
    <t xml:space="preserve">P10 · Autonomía (1–5)</t>
  </si>
  <si>
    <t xml:space="preserve">P11 · Qué cambiaría</t>
  </si>
  <si>
    <t xml:space="preserve">P12 · Preocupaciones</t>
  </si>
  <si>
    <t xml:space="preserve">Usuario</t>
  </si>
  <si>
    <t xml:space="preserve">Respuestas más rápidas fuera de horario</t>
  </si>
  <si>
    <t xml:space="preserve">P44 · Encuesta de uso y percepción de la IA — Resultados del pulso</t>
  </si>
  <si>
    <t xml:space="preserve">Dimensión</t>
  </si>
  <si>
    <t xml:space="preserve">% favorable</t>
  </si>
  <si>
    <t xml:space="preserve">Preguntas</t>
  </si>
  <si>
    <t xml:space="preserve">Utilidad</t>
  </si>
  <si>
    <t xml:space="preserve">P1, P2</t>
  </si>
  <si>
    <t xml:space="preserve">Confianza</t>
  </si>
  <si>
    <t xml:space="preserve">P3, P4</t>
  </si>
  <si>
    <t xml:space="preserve">Apoyo</t>
  </si>
  <si>
    <t xml:space="preserve">P5, P6</t>
  </si>
  <si>
    <t xml:space="preserve">Carga</t>
  </si>
  <si>
    <t xml:space="preserve">P7, P8</t>
  </si>
  <si>
    <t xml:space="preserve">Autonomía</t>
  </si>
  <si>
    <t xml:space="preserve">P9, P10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</si>
</sst>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N406"/>
  <sheetViews>
    <sheetView workbookViewId="0">
      <pane ySplit="6" topLeftCell="A7" activePane="bottomLeft" state="frozen"/>
    </sheetView>
  </sheetViews>
  <cols>
    <col min="1" max="1" width="12" customWidth="1"/>
    <col min="2" max="2" width="22" customWidth="1"/>
    <col min="3" max="3" width="10" customWidth="1"/>
    <col min="4" max="4" width="26" customWidth="1"/>
    <col min="5" max="5" width="14" customWidth="1"/>
    <col min="6" max="6" width="12" customWidth="1"/>
    <col min="7" max="7" width="22" customWidth="1"/>
    <col min="8" max="8" width="20" customWidth="1"/>
    <col min="9" max="9" width="12" customWidth="1"/>
    <col min="10" max="10" width="12" customWidth="1"/>
    <col min="11" max="11" width="30" customWidth="1"/>
    <col min="12" max="12" width="16" customWidth="1"/>
    <col min="13" max="13" width="16" customWidth="1"/>
    <col min="14" max="14" width="16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</row>
    <row r="7">
      <c r="A7" s="8" t="s">
        <v>18</v>
      </c>
      <c r="B7" s="8" t="s">
        <v>19</v>
      </c>
      <c r="C7" s="8" t="s">
        <v>20</v>
      </c>
      <c r="D7" s="8" t="s">
        <v>21</v>
      </c>
      <c r="E7" s="8" t="s">
        <v>22</v>
      </c>
      <c r="F7" s="8" t="s">
        <v>23</v>
      </c>
      <c r="G7" s="8" t="s">
        <v>24</v>
      </c>
      <c r="H7" s="8" t="s">
        <v>25</v>
      </c>
      <c r="I7" s="8" t="s">
        <v>26</v>
      </c>
      <c r="J7" s="8" t="s">
        <v>26</v>
      </c>
      <c r="K7" s="8" t="s">
        <v>27</v>
      </c>
      <c r="L7" s="9">
        <v>4</v>
      </c>
      <c r="M7" s="9">
        <v>3</v>
      </c>
      <c r="N7" s="9">
        <v>4</v>
      </c>
    </row>
  </sheetData>
  <autoFilter ref="A6:N406"/>
  <dataValidations count="9">
    <dataValidation type="list" allowBlank="1" showInputMessage="1" showErrorMessage="1" sqref="C8:C406">
      <formula1>"Sí,No"</formula1>
    </dataValidation>
    <dataValidation type="list" allowBlank="1" showInputMessage="1" showErrorMessage="1" sqref="E8:E406">
      <formula1>"Corporativa,Personal,Ambas,No lo sé"</formula1>
    </dataValidation>
    <dataValidation type="list" allowBlank="1" showInputMessage="1" showErrorMessage="1" sqref="F8:F406">
      <formula1>"Diaria,Semanal,Mensual,Ocasional"</formula1>
    </dataValidation>
    <dataValidation type="list" allowBlank="1" showInputMessage="1" showErrorMessage="1" sqref="H8:H406">
      <formula1>"[Pública],[Interna],[Confidencial],[Restringida],Datos personales,Ninguna de estas,Prefiero no responder"</formula1>
    </dataValidation>
    <dataValidation type="list" allowBlank="1" showInputMessage="1" showErrorMessage="1" sqref="I8:I406">
      <formula1>"Sí,No,No lo sé"</formula1>
    </dataValidation>
    <dataValidation type="list" allowBlank="1" showInputMessage="1" showErrorMessage="1" sqref="J8:J406">
      <formula1>"Sí,No"</formula1>
    </dataValidation>
    <dataValidation type="list" allowBlank="1" showInputMessage="1" showErrorMessage="1" sqref="L8:L406">
      <formula1>"1,2,3,4,5"</formula1>
    </dataValidation>
    <dataValidation type="list" allowBlank="1" showInputMessage="1" showErrorMessage="1" sqref="M8:M406">
      <formula1>"1,2,3,4,5"</formula1>
    </dataValidation>
    <dataValidation type="list" allowBlank="1" showInputMessage="1" showErrorMessage="1" sqref="N8:N406">
      <formula1>"1,2,3,4,5"</formula1>
    </dataValidation>
  </dataValidations>
</worksheet>
</file>

<file path=xl/worksheets/sheet2.xml><?xml version="1.0" encoding="utf-8"?>
<worksheet xmlns="http://schemas.openxmlformats.org/spreadsheetml/2006/main">
  <dimension ref="A1:C406"/>
  <sheetViews>
    <sheetView workbookViewId="0">
      <pane ySplit="6" topLeftCell="A7" activePane="bottomLeft" state="frozen"/>
    </sheetView>
  </sheetViews>
  <cols>
    <col min="1" max="1" width="34" customWidth="1"/>
    <col min="2" max="2" width="14" customWidth="1"/>
    <col min="3" max="3" width="50" customWidth="1"/>
  </cols>
  <sheetData>
    <row r="1">
      <c r="A1" s="1"/>
      <c r="B1" s="3" t="s">
        <v>0</v>
      </c>
    </row>
    <row r="2">
      <c r="A2" s="2" t="s">
        <v>28</v>
      </c>
    </row>
    <row r="3">
      <c r="A3" s="4" t="s">
        <v>2</v>
      </c>
    </row>
    <row r="4">
      <c r="A4" s="4" t="s">
        <v>3</v>
      </c>
    </row>
    <row r="5"/>
    <row r="6">
      <c r="A6" s="5" t="s">
        <v>29</v>
      </c>
      <c r="B6" s="5" t="s">
        <v>30</v>
      </c>
      <c r="C6" s="5" t="s">
        <v>31</v>
      </c>
    </row>
    <row r="7">
      <c r="A7" s="6" t="s">
        <v>32</v>
      </c>
      <c r="B7" s="6">
        <f>COUNTIF('Encuesta anual'!C8:C500,"Sí")/COUNTA('Encuesta anual'!C8:C500)</f>
      </c>
      <c r="C7" s="6" t="s">
        <v>33</v>
      </c>
    </row>
    <row r="8">
      <c r="A8" s="6" t="s">
        <v>34</v>
      </c>
      <c r="B8" s="6">
        <f>COUNTIF('Encuesta anual'!L8:L500,"&gt;=4")/COUNTA('Encuesta anual'!L8:L500)</f>
      </c>
      <c r="C8" s="6" t="s">
        <v>35</v>
      </c>
    </row>
    <row r="9">
      <c r="A9" s="6" t="s">
        <v>36</v>
      </c>
      <c r="B9" s="6">
        <f>COUNTIF('Encuesta anual'!M8:M500,"&gt;=4")/COUNTA('Encuesta anual'!M8:M500)</f>
      </c>
      <c r="C9" s="6" t="s">
        <v>37</v>
      </c>
    </row>
    <row r="10">
      <c r="A10" s="6" t="s">
        <v>38</v>
      </c>
      <c r="B10" s="6">
        <f>COUNTIF('Encuesta anual'!N8:N500,"&gt;=4")/COUNTA('Encuesta anual'!N8:N500)</f>
      </c>
      <c r="C10" s="6" t="s">
        <v>39</v>
      </c>
    </row>
  </sheetData>
  <autoFilter ref="A6:C406"/>
</worksheet>
</file>

<file path=xl/worksheets/sheet3.xml><?xml version="1.0" encoding="utf-8"?>
<worksheet xmlns="http://schemas.openxmlformats.org/spreadsheetml/2006/main">
  <dimension ref="A1:N406"/>
  <sheetViews>
    <sheetView workbookViewId="0">
      <pane ySplit="6" topLeftCell="A7" activePane="bottomLeft" state="frozen"/>
    </sheetView>
  </sheetViews>
  <cols>
    <col min="1" max="1" width="12" customWidth="1"/>
    <col min="2" max="2" width="2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30" customWidth="1"/>
    <col min="14" max="14" width="30" customWidth="1"/>
  </cols>
  <sheetData>
    <row r="1">
      <c r="A1" s="1"/>
      <c r="B1" s="3" t="s">
        <v>0</v>
      </c>
    </row>
    <row r="2">
      <c r="A2" s="2" t="s">
        <v>40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</row>
    <row r="7">
      <c r="A7" s="8" t="s">
        <v>18</v>
      </c>
      <c r="B7" s="8" t="s">
        <v>54</v>
      </c>
      <c r="C7" s="9">
        <v>4</v>
      </c>
      <c r="D7" s="9">
        <v>5</v>
      </c>
      <c r="E7" s="9">
        <v>4</v>
      </c>
      <c r="F7" s="9">
        <v>4</v>
      </c>
      <c r="G7" s="9">
        <v>3</v>
      </c>
      <c r="H7" s="9">
        <v>4</v>
      </c>
      <c r="I7" s="9">
        <v>4</v>
      </c>
      <c r="J7" s="9">
        <v>3</v>
      </c>
      <c r="K7" s="9">
        <v>5</v>
      </c>
      <c r="L7" s="9">
        <v>4</v>
      </c>
      <c r="M7" s="8" t="s">
        <v>55</v>
      </c>
      <c r="N7" s="8" t="s">
        <v>27</v>
      </c>
    </row>
  </sheetData>
  <autoFilter ref="A6:N406"/>
  <dataValidations count="11">
    <dataValidation type="list" allowBlank="1" showInputMessage="1" showErrorMessage="1" sqref="B8:B406">
      <formula1>"Usuario,Supervisor,Mando"</formula1>
    </dataValidation>
    <dataValidation type="list" allowBlank="1" showInputMessage="1" showErrorMessage="1" sqref="C8:C406">
      <formula1>"1,2,3,4,5"</formula1>
    </dataValidation>
    <dataValidation type="list" allowBlank="1" showInputMessage="1" showErrorMessage="1" sqref="D8:D406">
      <formula1>"1,2,3,4,5"</formula1>
    </dataValidation>
    <dataValidation type="list" allowBlank="1" showInputMessage="1" showErrorMessage="1" sqref="E8:E406">
      <formula1>"1,2,3,4,5"</formula1>
    </dataValidation>
    <dataValidation type="list" allowBlank="1" showInputMessage="1" showErrorMessage="1" sqref="F8:F406">
      <formula1>"1,2,3,4,5"</formula1>
    </dataValidation>
    <dataValidation type="list" allowBlank="1" showInputMessage="1" showErrorMessage="1" sqref="G8:G406">
      <formula1>"1,2,3,4,5"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"1,2,3,4,5"</formula1>
    </dataValidation>
    <dataValidation type="list" allowBlank="1" showInputMessage="1" showErrorMessage="1" sqref="K8:K406">
      <formula1>"1,2,3,4,5"</formula1>
    </dataValidation>
    <dataValidation type="list" allowBlank="1" showInputMessage="1" showErrorMessage="1" sqref="L8:L406">
      <formula1>"1,2,3,4,5"</formula1>
    </dataValidation>
  </dataValidations>
</worksheet>
</file>

<file path=xl/worksheets/sheet4.xml><?xml version="1.0" encoding="utf-8"?>
<worksheet xmlns="http://schemas.openxmlformats.org/spreadsheetml/2006/main">
  <dimension ref="A1:C406"/>
  <sheetViews>
    <sheetView workbookViewId="0">
      <pane ySplit="6" topLeftCell="A7" activePane="bottomLeft" state="frozen"/>
    </sheetView>
  </sheetViews>
  <cols>
    <col min="1" max="1" width="20" customWidth="1"/>
    <col min="2" max="2" width="14" customWidth="1"/>
    <col min="3" max="3" width="14" customWidth="1"/>
  </cols>
  <sheetData>
    <row r="1">
      <c r="A1" s="1"/>
      <c r="B1" s="3" t="s">
        <v>0</v>
      </c>
    </row>
    <row r="2">
      <c r="A2" s="2" t="s">
        <v>56</v>
      </c>
    </row>
    <row r="3">
      <c r="A3" s="4" t="s">
        <v>2</v>
      </c>
    </row>
    <row r="4">
      <c r="A4" s="4" t="s">
        <v>3</v>
      </c>
    </row>
    <row r="5"/>
    <row r="6">
      <c r="A6" s="5" t="s">
        <v>57</v>
      </c>
      <c r="B6" s="5" t="s">
        <v>58</v>
      </c>
      <c r="C6" s="5" t="s">
        <v>59</v>
      </c>
    </row>
    <row r="7">
      <c r="A7" s="6" t="s">
        <v>60</v>
      </c>
      <c r="B7" s="6">
        <f>(COUNTIF('Encuesta de pulso'!C8:C500,"&gt;=4")+COUNTIF('Encuesta de pulso'!D8:D500,"&gt;=4"))/(COUNTA('Encuesta de pulso'!C8:C500)+COUNTA('Encuesta de pulso'!D8:D500))</f>
      </c>
      <c r="C7" s="6" t="s">
        <v>61</v>
      </c>
    </row>
    <row r="8">
      <c r="A8" s="6" t="s">
        <v>62</v>
      </c>
      <c r="B8" s="6">
        <f>(COUNTIF('Encuesta de pulso'!E8:E500,"&gt;=4")+COUNTIF('Encuesta de pulso'!F8:F500,"&gt;=4"))/(COUNTA('Encuesta de pulso'!E8:E500)+COUNTA('Encuesta de pulso'!F8:F500))</f>
      </c>
      <c r="C8" s="6" t="s">
        <v>63</v>
      </c>
    </row>
    <row r="9">
      <c r="A9" s="6" t="s">
        <v>64</v>
      </c>
      <c r="B9" s="6">
        <f>(COUNTIF('Encuesta de pulso'!G8:G500,"&gt;=4")+COUNTIF('Encuesta de pulso'!H8:H500,"&gt;=4"))/(COUNTA('Encuesta de pulso'!G8:G500)+COUNTA('Encuesta de pulso'!H8:H500))</f>
      </c>
      <c r="C9" s="6" t="s">
        <v>65</v>
      </c>
    </row>
    <row r="10">
      <c r="A10" s="6" t="s">
        <v>66</v>
      </c>
      <c r="B10" s="6">
        <f>(COUNTIF('Encuesta de pulso'!I8:I500,"&gt;=4")+COUNTIF('Encuesta de pulso'!J8:J500,"&gt;=4"))/(COUNTA('Encuesta de pulso'!I8:I500)+COUNTA('Encuesta de pulso'!J8:J500))</f>
      </c>
      <c r="C10" s="6" t="s">
        <v>67</v>
      </c>
    </row>
    <row r="11">
      <c r="A11" s="6" t="s">
        <v>68</v>
      </c>
      <c r="B11" s="6">
        <f>(COUNTIF('Encuesta de pulso'!K8:K500,"&gt;=4")+COUNTIF('Encuesta de pulso'!L8:L500,"&gt;=4"))/(COUNTA('Encuesta de pulso'!K8:K500)+COUNTA('Encuesta de pulso'!L8:L500))</f>
      </c>
      <c r="C11" s="6" t="s">
        <v>69</v>
      </c>
    </row>
  </sheetData>
  <autoFilter ref="A6:C406"/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P44 · Encuesta de uso y percepción de la IA</dc:title>
  <dc:creator>Fernando García · SEACHAD</dc:creator>
  <dc:language>es</dc:language>
  <cp:keywords>SEVEN-G</cp:keywords>
</cp:coreProperties>
</file>